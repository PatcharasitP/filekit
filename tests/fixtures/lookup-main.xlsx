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fklk\"/>
    </mc:Choice>
  </mc:AlternateContent>
  <xr:revisionPtr revIDLastSave="0" documentId="8_{52B134E0-6E3C-4527-8B89-053AD9F5B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1" r:id="rId1"/>
  </sheets>
  <definedNames>
    <definedName name="_xlnm._FilterDatabase" localSheetId="0" hidden="1">'2026'!$A$2:$Q$20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P5" i="1"/>
  <c r="G5" i="1"/>
  <c r="G4" i="1"/>
  <c r="G3" i="1"/>
  <c r="K1" i="1"/>
</calcChain>
</file>

<file path=xl/sharedStrings.xml><?xml version="1.0" encoding="utf-8"?>
<sst xmlns="http://schemas.openxmlformats.org/spreadsheetml/2006/main" count="72" uniqueCount="35">
  <si>
    <t>Company Code</t>
  </si>
  <si>
    <t>Item</t>
  </si>
  <si>
    <t>Doc.Date</t>
  </si>
  <si>
    <t>Posting Date</t>
  </si>
  <si>
    <t>Doc.Type</t>
  </si>
  <si>
    <t>Doc. No.</t>
  </si>
  <si>
    <t>Mapping</t>
  </si>
  <si>
    <t>Invoice no.</t>
  </si>
  <si>
    <t>Vendor/Cust</t>
  </si>
  <si>
    <t>Vendor/Customer Name</t>
  </si>
  <si>
    <t>Amount</t>
  </si>
  <si>
    <t>Tax Base Amount</t>
  </si>
  <si>
    <t>Total (SM)</t>
  </si>
  <si>
    <t>Tax Inv. Date (SM)</t>
  </si>
  <si>
    <t>Tax Inv. No (SM)</t>
  </si>
  <si>
    <t>Send to Tax Team No.</t>
  </si>
  <si>
    <t>Clearing Doc.</t>
  </si>
  <si>
    <t>KR</t>
  </si>
  <si>
    <t>SMTRENT20260312</t>
  </si>
  <si>
    <t>บริษัท ซีพี แอ็กซ์ตร้า จำกัด (มหาชน)</t>
  </si>
  <si>
    <t>IN9992500626</t>
  </si>
  <si>
    <t>IN9992500655</t>
  </si>
  <si>
    <t>SMTRENT20260320</t>
  </si>
  <si>
    <t>SMTRENT20260324</t>
  </si>
  <si>
    <t>BKK0173DSI/2</t>
  </si>
  <si>
    <t>BKK0173DSI/1</t>
  </si>
  <si>
    <t>SMTRENT20260402</t>
  </si>
  <si>
    <t>OLD-001</t>
  </si>
  <si>
    <t>YLA80007A/2</t>
  </si>
  <si>
    <t>YLA80007A/1</t>
  </si>
  <si>
    <t>YLA80007A/4</t>
  </si>
  <si>
    <t>YLA80007A/3</t>
  </si>
  <si>
    <t>SMTRENT20260422</t>
  </si>
  <si>
    <t>SMTRENT20260417</t>
  </si>
  <si>
    <t>SMTRENT20260508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</si>
</sst>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dd/mm/yyyy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88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3.8" x14ac:dyDescent="0.25"/>
  <cols>
    <col min="7" max="7" width="18" customWidth="1"/>
    <col min="10" max="10" width="34" customWidth="1"/>
    <col min="14" max="14" width="18" customWidth="1"/>
    <col min="15" max="16" width="20" customWidth="1"/>
  </cols>
  <sheetData>
    <row r="1" spans="1:17" x14ac:dyDescent="0.25">
      <c r="J1">
        <v>18</v>
      </c>
      <c r="K1">
        <f>SUBTOTAL(9,K3:K20)</f>
        <v>74611.95</v>
      </c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2" t="s">
        <v>15</v>
      </c>
      <c r="Q2" s="1" t="s">
        <v>16</v>
      </c>
    </row>
    <row r="3" spans="1:17" x14ac:dyDescent="0.25">
      <c r="A3">
        <v>1068</v>
      </c>
      <c r="B3">
        <v>44151</v>
      </c>
      <c r="C3" s="3">
        <v>46093</v>
      </c>
      <c r="D3" s="3">
        <v>46093</v>
      </c>
      <c r="E3" t="s">
        <v>17</v>
      </c>
      <c r="F3">
        <v>2619062802</v>
      </c>
      <c r="G3" t="str">
        <f t="shared" ref="G3:G20" si="0">A3&amp;F3</f>
        <v>10682619062802</v>
      </c>
      <c r="H3" t="s">
        <v>18</v>
      </c>
      <c r="I3">
        <v>6088686</v>
      </c>
      <c r="J3" t="s">
        <v>19</v>
      </c>
      <c r="K3" s="4">
        <v>12052.76</v>
      </c>
      <c r="L3" s="4">
        <v>172182.34</v>
      </c>
      <c r="M3" s="4">
        <v>184235.1</v>
      </c>
      <c r="N3" s="3"/>
      <c r="O3" s="5"/>
      <c r="P3" s="5"/>
      <c r="Q3">
        <v>2620062538</v>
      </c>
    </row>
    <row r="4" spans="1:17" hidden="1" x14ac:dyDescent="0.25">
      <c r="A4">
        <v>1068</v>
      </c>
      <c r="B4">
        <v>44152</v>
      </c>
      <c r="C4" s="3">
        <v>46093</v>
      </c>
      <c r="D4" s="3">
        <v>46093</v>
      </c>
      <c r="E4" t="s">
        <v>17</v>
      </c>
      <c r="F4">
        <v>2619062803</v>
      </c>
      <c r="G4" t="str">
        <f t="shared" si="0"/>
        <v>10682619062803</v>
      </c>
      <c r="H4" t="s">
        <v>18</v>
      </c>
      <c r="I4">
        <v>6088686</v>
      </c>
      <c r="J4" t="s">
        <v>19</v>
      </c>
      <c r="K4" s="4">
        <v>3080</v>
      </c>
      <c r="L4" s="4">
        <v>44000</v>
      </c>
      <c r="M4" s="4">
        <v>47080</v>
      </c>
      <c r="N4" s="3"/>
      <c r="O4" s="5"/>
      <c r="P4" s="5"/>
      <c r="Q4">
        <v>2620062539</v>
      </c>
    </row>
    <row r="5" spans="1:17" x14ac:dyDescent="0.25">
      <c r="A5">
        <v>1068</v>
      </c>
      <c r="B5">
        <v>22055</v>
      </c>
      <c r="C5" s="3">
        <v>45926</v>
      </c>
      <c r="D5" s="3">
        <v>46093</v>
      </c>
      <c r="E5" t="s">
        <v>17</v>
      </c>
      <c r="F5">
        <v>2619063334</v>
      </c>
      <c r="G5" t="str">
        <f t="shared" si="0"/>
        <v>10682619063334</v>
      </c>
      <c r="H5" t="s">
        <v>20</v>
      </c>
      <c r="I5">
        <v>6088686</v>
      </c>
      <c r="J5" t="s">
        <v>19</v>
      </c>
      <c r="K5" s="4">
        <v>404.74</v>
      </c>
      <c r="L5" s="4">
        <v>5782</v>
      </c>
      <c r="M5" s="4">
        <v>6186.74</v>
      </c>
      <c r="N5" s="3"/>
      <c r="O5" s="5"/>
      <c r="P5" s="5" t="str">
        <f>""</f>
        <v/>
      </c>
      <c r="Q5">
        <v>2620062540</v>
      </c>
    </row>
    <row r="6" spans="1:17" hidden="1" x14ac:dyDescent="0.25">
      <c r="A6">
        <v>1068</v>
      </c>
      <c r="B6">
        <v>23766</v>
      </c>
      <c r="C6" s="3">
        <v>45958</v>
      </c>
      <c r="D6" s="3">
        <v>46093</v>
      </c>
      <c r="E6" t="s">
        <v>17</v>
      </c>
      <c r="F6">
        <v>2619063335</v>
      </c>
      <c r="G6" t="str">
        <f t="shared" si="0"/>
        <v>10682619063335</v>
      </c>
      <c r="H6" t="s">
        <v>21</v>
      </c>
      <c r="I6">
        <v>6088686</v>
      </c>
      <c r="J6" t="s">
        <v>19</v>
      </c>
      <c r="K6" s="4">
        <v>135.72999999999999</v>
      </c>
      <c r="L6" s="4">
        <v>1939</v>
      </c>
      <c r="M6" s="4">
        <v>2074.73</v>
      </c>
      <c r="N6" s="3"/>
      <c r="O6" s="5"/>
      <c r="P6" s="5"/>
      <c r="Q6">
        <v>2620062541</v>
      </c>
    </row>
    <row r="7" spans="1:17" x14ac:dyDescent="0.25">
      <c r="A7">
        <v>1068</v>
      </c>
      <c r="B7">
        <v>46209</v>
      </c>
      <c r="C7" s="3">
        <v>46101</v>
      </c>
      <c r="D7" s="3">
        <v>46101</v>
      </c>
      <c r="E7" t="s">
        <v>17</v>
      </c>
      <c r="F7">
        <v>2619067566</v>
      </c>
      <c r="G7" t="str">
        <f t="shared" si="0"/>
        <v>10682619067566</v>
      </c>
      <c r="H7" t="s">
        <v>22</v>
      </c>
      <c r="I7">
        <v>6068935</v>
      </c>
      <c r="J7" t="s">
        <v>19</v>
      </c>
      <c r="K7" s="4">
        <v>1077.0899999999999</v>
      </c>
      <c r="L7" s="4">
        <v>15387</v>
      </c>
      <c r="M7" s="4">
        <v>16464.09</v>
      </c>
      <c r="N7" s="3"/>
      <c r="O7" s="5"/>
      <c r="P7" s="5"/>
      <c r="Q7">
        <v>2620062542</v>
      </c>
    </row>
    <row r="8" spans="1:17" x14ac:dyDescent="0.25">
      <c r="A8">
        <v>1068</v>
      </c>
      <c r="B8">
        <v>46059</v>
      </c>
      <c r="C8" s="3">
        <v>46113</v>
      </c>
      <c r="D8" s="3">
        <v>46113</v>
      </c>
      <c r="E8" t="s">
        <v>17</v>
      </c>
      <c r="F8">
        <v>2619070521</v>
      </c>
      <c r="G8" t="str">
        <f t="shared" si="0"/>
        <v>10682619070521</v>
      </c>
      <c r="H8" t="s">
        <v>23</v>
      </c>
      <c r="I8">
        <v>6088685</v>
      </c>
      <c r="J8" t="s">
        <v>19</v>
      </c>
      <c r="K8" s="4">
        <v>12786.78</v>
      </c>
      <c r="L8" s="4">
        <v>182668.23</v>
      </c>
      <c r="M8" s="4">
        <v>195455.01</v>
      </c>
      <c r="N8" s="3"/>
      <c r="O8" s="5"/>
      <c r="P8" s="5"/>
      <c r="Q8">
        <v>2620062543</v>
      </c>
    </row>
    <row r="9" spans="1:17" hidden="1" x14ac:dyDescent="0.25">
      <c r="A9">
        <v>1068</v>
      </c>
      <c r="B9">
        <v>46060</v>
      </c>
      <c r="C9" s="3">
        <v>46113</v>
      </c>
      <c r="D9" s="3">
        <v>46113</v>
      </c>
      <c r="E9" t="s">
        <v>17</v>
      </c>
      <c r="F9">
        <v>2619070522</v>
      </c>
      <c r="G9" t="str">
        <f t="shared" si="0"/>
        <v>10682619070522</v>
      </c>
      <c r="H9" t="s">
        <v>23</v>
      </c>
      <c r="I9">
        <v>6088685</v>
      </c>
      <c r="J9" t="s">
        <v>19</v>
      </c>
      <c r="K9" s="4">
        <v>3080</v>
      </c>
      <c r="L9" s="4">
        <v>44000</v>
      </c>
      <c r="M9" s="4">
        <v>47080</v>
      </c>
      <c r="N9" s="3"/>
      <c r="O9" s="5"/>
      <c r="P9" s="5"/>
      <c r="Q9">
        <v>2620062544</v>
      </c>
    </row>
    <row r="10" spans="1:17" x14ac:dyDescent="0.25">
      <c r="A10">
        <v>1019</v>
      </c>
      <c r="B10">
        <v>12739</v>
      </c>
      <c r="C10" s="3">
        <v>46114</v>
      </c>
      <c r="D10" s="3">
        <v>46121</v>
      </c>
      <c r="E10" t="s">
        <v>17</v>
      </c>
      <c r="F10">
        <v>2619020111</v>
      </c>
      <c r="G10" t="str">
        <f t="shared" si="0"/>
        <v>10192619020111</v>
      </c>
      <c r="H10" t="s">
        <v>24</v>
      </c>
      <c r="I10">
        <v>6101546</v>
      </c>
      <c r="J10" t="s">
        <v>19</v>
      </c>
      <c r="K10" s="4">
        <v>2152.2800000000002</v>
      </c>
      <c r="L10" s="4">
        <v>30746.85</v>
      </c>
      <c r="M10" s="4">
        <v>32899.129999999997</v>
      </c>
      <c r="N10" s="3"/>
      <c r="O10" s="5"/>
      <c r="P10" s="5"/>
      <c r="Q10">
        <v>2620062545</v>
      </c>
    </row>
    <row r="11" spans="1:17" x14ac:dyDescent="0.25">
      <c r="A11">
        <v>1019</v>
      </c>
      <c r="B11">
        <v>12738</v>
      </c>
      <c r="C11" s="3">
        <v>46114</v>
      </c>
      <c r="D11" s="3">
        <v>46121</v>
      </c>
      <c r="E11" t="s">
        <v>17</v>
      </c>
      <c r="F11">
        <v>2619020110</v>
      </c>
      <c r="G11" t="str">
        <f t="shared" si="0"/>
        <v>10192619020110</v>
      </c>
      <c r="H11" t="s">
        <v>25</v>
      </c>
      <c r="I11">
        <v>6101546</v>
      </c>
      <c r="J11" t="s">
        <v>19</v>
      </c>
      <c r="K11" s="4">
        <v>2089.59</v>
      </c>
      <c r="L11" s="4">
        <v>29851.31</v>
      </c>
      <c r="M11" s="4">
        <v>31940.9</v>
      </c>
      <c r="N11" s="3"/>
      <c r="O11" s="5"/>
      <c r="P11" s="5"/>
      <c r="Q11">
        <v>2620062546</v>
      </c>
    </row>
    <row r="12" spans="1:17" x14ac:dyDescent="0.25">
      <c r="A12">
        <v>1068</v>
      </c>
      <c r="B12">
        <v>46815</v>
      </c>
      <c r="C12" s="3">
        <v>46114</v>
      </c>
      <c r="D12" s="3">
        <v>46114</v>
      </c>
      <c r="E12" t="s">
        <v>17</v>
      </c>
      <c r="F12">
        <v>2619080653</v>
      </c>
      <c r="G12" t="str">
        <f t="shared" si="0"/>
        <v>10682619080653</v>
      </c>
      <c r="H12" t="s">
        <v>26</v>
      </c>
      <c r="I12">
        <v>6088685</v>
      </c>
      <c r="J12" t="s">
        <v>19</v>
      </c>
      <c r="K12" s="4">
        <v>12786.78</v>
      </c>
      <c r="L12" s="4">
        <v>182668.23</v>
      </c>
      <c r="M12" s="4">
        <v>195455.01</v>
      </c>
      <c r="N12" s="3"/>
      <c r="O12" s="5" t="s">
        <v>27</v>
      </c>
      <c r="P12" s="5"/>
      <c r="Q12">
        <v>2620062547</v>
      </c>
    </row>
    <row r="13" spans="1:17" hidden="1" x14ac:dyDescent="0.25">
      <c r="A13">
        <v>1068</v>
      </c>
      <c r="B13">
        <v>46816</v>
      </c>
      <c r="C13" s="3">
        <v>46114</v>
      </c>
      <c r="D13" s="3">
        <v>46114</v>
      </c>
      <c r="E13" t="s">
        <v>17</v>
      </c>
      <c r="F13">
        <v>2619080654</v>
      </c>
      <c r="G13" t="str">
        <f t="shared" si="0"/>
        <v>10682619080654</v>
      </c>
      <c r="H13" t="s">
        <v>26</v>
      </c>
      <c r="I13">
        <v>6088685</v>
      </c>
      <c r="J13" t="s">
        <v>19</v>
      </c>
      <c r="K13" s="4">
        <v>3080</v>
      </c>
      <c r="L13" s="4">
        <v>44000</v>
      </c>
      <c r="M13" s="4">
        <v>47080</v>
      </c>
      <c r="N13" s="3"/>
      <c r="O13" s="5"/>
      <c r="P13" s="5"/>
      <c r="Q13">
        <v>2620062548</v>
      </c>
    </row>
    <row r="14" spans="1:17" x14ac:dyDescent="0.25">
      <c r="A14">
        <v>1068</v>
      </c>
      <c r="B14">
        <v>48815</v>
      </c>
      <c r="C14" s="3">
        <v>46128</v>
      </c>
      <c r="D14" s="3">
        <v>46129</v>
      </c>
      <c r="E14" t="s">
        <v>17</v>
      </c>
      <c r="F14">
        <v>2619089500</v>
      </c>
      <c r="G14" t="str">
        <f t="shared" si="0"/>
        <v>10682619089500</v>
      </c>
      <c r="H14" t="s">
        <v>28</v>
      </c>
      <c r="I14">
        <v>6068935</v>
      </c>
      <c r="J14" t="s">
        <v>19</v>
      </c>
      <c r="K14" s="4">
        <v>1586.2</v>
      </c>
      <c r="L14" s="4">
        <v>22660</v>
      </c>
      <c r="M14" s="4">
        <v>24246.2</v>
      </c>
      <c r="N14" s="3"/>
      <c r="O14" s="5"/>
      <c r="P14" s="5"/>
      <c r="Q14">
        <v>2620062549</v>
      </c>
    </row>
    <row r="15" spans="1:17" x14ac:dyDescent="0.25">
      <c r="A15">
        <v>1068</v>
      </c>
      <c r="B15">
        <v>48814</v>
      </c>
      <c r="C15" s="3">
        <v>46128</v>
      </c>
      <c r="D15" s="3">
        <v>46129</v>
      </c>
      <c r="E15" t="s">
        <v>17</v>
      </c>
      <c r="F15">
        <v>2619089499</v>
      </c>
      <c r="G15" t="str">
        <f t="shared" si="0"/>
        <v>10682619089499</v>
      </c>
      <c r="H15" t="s">
        <v>29</v>
      </c>
      <c r="I15">
        <v>6068935</v>
      </c>
      <c r="J15" t="s">
        <v>19</v>
      </c>
      <c r="K15" s="4">
        <v>1540</v>
      </c>
      <c r="L15" s="4">
        <v>22000</v>
      </c>
      <c r="M15" s="4">
        <v>23540</v>
      </c>
      <c r="N15" s="3"/>
      <c r="O15" s="5"/>
      <c r="P15" s="5"/>
      <c r="Q15">
        <v>2620062550</v>
      </c>
    </row>
    <row r="16" spans="1:17" x14ac:dyDescent="0.25">
      <c r="A16">
        <v>1068</v>
      </c>
      <c r="B16">
        <v>48817</v>
      </c>
      <c r="C16" s="3">
        <v>46128</v>
      </c>
      <c r="D16" s="3">
        <v>46129</v>
      </c>
      <c r="E16" t="s">
        <v>17</v>
      </c>
      <c r="F16">
        <v>2619089502</v>
      </c>
      <c r="G16" t="str">
        <f t="shared" si="0"/>
        <v>10682619089502</v>
      </c>
      <c r="H16" t="s">
        <v>30</v>
      </c>
      <c r="I16">
        <v>6068935</v>
      </c>
      <c r="J16" t="s">
        <v>19</v>
      </c>
      <c r="K16" s="4">
        <v>1400</v>
      </c>
      <c r="L16" s="4">
        <v>20000</v>
      </c>
      <c r="M16" s="4">
        <v>21400</v>
      </c>
      <c r="N16" s="3"/>
      <c r="O16" s="5"/>
      <c r="P16" s="5"/>
      <c r="Q16">
        <v>2620062551</v>
      </c>
    </row>
    <row r="17" spans="1:17" x14ac:dyDescent="0.25">
      <c r="A17">
        <v>1068</v>
      </c>
      <c r="B17">
        <v>48816</v>
      </c>
      <c r="C17" s="3">
        <v>46128</v>
      </c>
      <c r="D17" s="3">
        <v>46129</v>
      </c>
      <c r="E17" t="s">
        <v>17</v>
      </c>
      <c r="F17">
        <v>2619089501</v>
      </c>
      <c r="G17" t="str">
        <f t="shared" si="0"/>
        <v>10682619089501</v>
      </c>
      <c r="H17" t="s">
        <v>31</v>
      </c>
      <c r="I17">
        <v>6068935</v>
      </c>
      <c r="J17" t="s">
        <v>19</v>
      </c>
      <c r="K17" s="4">
        <v>1400</v>
      </c>
      <c r="L17" s="4">
        <v>20000</v>
      </c>
      <c r="M17" s="4">
        <v>21400</v>
      </c>
      <c r="N17" s="3"/>
      <c r="O17" s="5"/>
      <c r="P17" s="5"/>
      <c r="Q17">
        <v>2620062552</v>
      </c>
    </row>
    <row r="18" spans="1:17" x14ac:dyDescent="0.25">
      <c r="A18">
        <v>1068</v>
      </c>
      <c r="B18">
        <v>50718</v>
      </c>
      <c r="C18" s="3">
        <v>46134</v>
      </c>
      <c r="D18" s="3">
        <v>46134</v>
      </c>
      <c r="E18" t="s">
        <v>17</v>
      </c>
      <c r="F18">
        <v>2619091572</v>
      </c>
      <c r="G18" t="str">
        <f t="shared" si="0"/>
        <v>10682619091572</v>
      </c>
      <c r="H18" t="s">
        <v>32</v>
      </c>
      <c r="I18">
        <v>6088686</v>
      </c>
      <c r="J18" t="s">
        <v>19</v>
      </c>
      <c r="K18" s="4">
        <v>3080</v>
      </c>
      <c r="L18" s="4">
        <v>44000</v>
      </c>
      <c r="M18" s="4">
        <v>47080</v>
      </c>
      <c r="N18" s="3"/>
      <c r="O18" s="5"/>
      <c r="P18" s="5"/>
      <c r="Q18">
        <v>2620062553</v>
      </c>
    </row>
    <row r="19" spans="1:17" x14ac:dyDescent="0.25">
      <c r="A19">
        <v>1068</v>
      </c>
      <c r="B19">
        <v>49495</v>
      </c>
      <c r="C19" s="3">
        <v>46129</v>
      </c>
      <c r="D19" s="3">
        <v>46129</v>
      </c>
      <c r="E19" t="s">
        <v>17</v>
      </c>
      <c r="F19">
        <v>2619088982</v>
      </c>
      <c r="G19" t="str">
        <f t="shared" si="0"/>
        <v>10682619088982</v>
      </c>
      <c r="H19" t="s">
        <v>33</v>
      </c>
      <c r="I19">
        <v>6088685</v>
      </c>
      <c r="J19" t="s">
        <v>19</v>
      </c>
      <c r="K19" s="4">
        <v>3080</v>
      </c>
      <c r="L19" s="4">
        <v>44000</v>
      </c>
      <c r="M19" s="4">
        <v>47080</v>
      </c>
      <c r="N19" s="3"/>
      <c r="O19" s="5"/>
      <c r="P19" s="5"/>
      <c r="Q19">
        <v>2620062554</v>
      </c>
    </row>
    <row r="20" spans="1:17" x14ac:dyDescent="0.25">
      <c r="A20">
        <v>1068</v>
      </c>
      <c r="B20">
        <v>48635</v>
      </c>
      <c r="C20" s="3">
        <v>46150</v>
      </c>
      <c r="D20" s="3">
        <v>46150</v>
      </c>
      <c r="E20" t="s">
        <v>17</v>
      </c>
      <c r="F20">
        <v>2619103772</v>
      </c>
      <c r="G20" t="str">
        <f t="shared" si="0"/>
        <v>10682619103772</v>
      </c>
      <c r="H20" t="s">
        <v>34</v>
      </c>
      <c r="I20">
        <v>6068935</v>
      </c>
      <c r="J20" t="s">
        <v>19</v>
      </c>
      <c r="K20" s="4">
        <v>9800</v>
      </c>
      <c r="L20" s="4">
        <v>140000</v>
      </c>
      <c r="M20" s="4">
        <v>149800</v>
      </c>
      <c r="N20" s="3"/>
      <c r="O20" s="5"/>
      <c r="P20" s="5"/>
      <c r="Q20">
        <v>2620062555</v>
      </c>
    </row>
  </sheetData>
  <autoFilter ref="A2:Q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Worapakorn Pongudom</cp:lastModifiedBy>
  <dcterms:created xsi:type="dcterms:W3CDTF">2026-09-30T03:08:21Z</dcterms:created>
  <dcterms:modified xsi:type="dcterms:W3CDTF">2026-09-30T03:08:30Z</dcterms:modified>
</cp:coreProperties>
</file>